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80629b370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. Funcionais (RF)" sheetId="1" r:id="R33528eb408c14a73"/>
    <x:sheet xmlns:r="http://schemas.openxmlformats.org/officeDocument/2006/relationships" name="Req. Não Funcionais (RNF)" sheetId="2" r:id="Re537a4d1da364cc9"/>
    <x:sheet xmlns:r="http://schemas.openxmlformats.org/officeDocument/2006/relationships" name="Resumo" sheetId="3" r:id="Rc52b9ead66ad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3"/>
      <x:color rgb="FFFFFF"/>
      <x:name val="Carlito"/>
    </x:font>
    <x:font>
      <x:i/>
      <x:sz val="10"/>
      <x:name val="Carlito"/>
    </x:font>
    <x:font>
      <x:b/>
      <x:sz val="11"/>
      <x:color rgb="FFFFFF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06633"/>
      </x:patternFill>
    </x:fill>
    <x:fill>
      <x:patternFill patternType="solid">
        <x:fgColor rgb="F0F7F0"/>
      </x:patternFill>
    </x:fill>
    <x:fill>
      <x:patternFill patternType="solid">
        <x:fgColor rgb="5B1A8E"/>
      </x:patternFill>
    </x:fill>
    <x:fill>
      <x:patternFill patternType="solid">
        <x:fgColor rgb="F3E8FF"/>
      </x:patternFill>
    </x:fill>
    <x:fill>
      <x:patternFill patternType="solid">
        <x:fgColor rgb="EAF4EA"/>
      </x:patternFill>
    </x:fill>
    <x:fill>
      <x:patternFill patternType="solid">
        <x:fgColor rgb="E8F5E9"/>
      </x:patternFill>
    </x:fill>
  </x:fills>
  <x:borders count="4">
    <x:border/>
    <x:border/>
    <x:border>
      <x:left>
        <x:color rgb="D0D0D0"/>
      </x:left>
      <x:right>
        <x:color rgb="D0D0D0"/>
      </x:right>
      <x:top>
        <x:color rgb="D0D0D0"/>
      </x:top>
      <x:bottom>
        <x:color rgb="D0D0D0"/>
      </x:bottom>
    </x:border>
    <x:border>
      <x:left>
        <x:color rgb="D0D0D0"/>
      </x:left>
      <x:right>
        <x:color rgb="D0D0D0"/>
      </x:right>
      <x:top>
        <x:color rgb="D0D0D0"/>
      </x:top>
      <x:bottom>
        <x:color rgb="D0D0D0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left"/>
    </x:xf>
    <x:xf numFmtId="0" fontId="1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left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B91C1C"/>
      </x:font>
      <x:fill>
        <x:patternFill patternType="solid">
          <x:bgColor rgb="FDE2E2"/>
        </x:patternFill>
      </x:fill>
    </x:dxf>
    <x:dxf>
      <x:font>
        <x:b/>
        <x:color rgb="B45309"/>
      </x:font>
      <x:fill>
        <x:patternFill patternType="solid">
          <x:bgColor rgb="FFF4CC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b/>
        <x:color rgb="B91C1C"/>
      </x:font>
      <x:fill>
        <x:patternFill patternType="solid">
          <x:bgColor rgb="FDE2E2"/>
        </x:patternFill>
      </x:fill>
    </x:dxf>
    <x:dxf>
      <x:font>
        <x:b/>
        <x:color rgb="B45309"/>
      </x:font>
      <x:fill>
        <x:patternFill patternType="solid">
          <x:bgColor rgb="FFF4CC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f41d88fa04b1a" /><Relationship Type="http://schemas.openxmlformats.org/officeDocument/2006/relationships/theme" Target="/xl/theme/theme1.xml" Id="R1968c85ed8524229" /><Relationship Type="http://schemas.openxmlformats.org/officeDocument/2006/relationships/sharedStrings" Target="/xl/sharedStrings.xml" Id="R7e33bae23c864671" /><Relationship Type="http://schemas.openxmlformats.org/officeDocument/2006/relationships/worksheet" Target="/xl/worksheets/sheet1.xml" Id="R33528eb408c14a73" /><Relationship Type="http://schemas.openxmlformats.org/officeDocument/2006/relationships/worksheet" Target="/xl/worksheets/sheet2.xml" Id="Re537a4d1da364cc9" /><Relationship Type="http://schemas.openxmlformats.org/officeDocument/2006/relationships/worksheet" Target="/xl/worksheets/sheet3.xml" Id="Rc52b9ead66ad402c" /></Relationships>
</file>

<file path=xl/tables/table1.xml><?xml version="1.0" encoding="utf-8"?>
<x:table xmlns:x="http://schemas.openxmlformats.org/spreadsheetml/2006/main" id="1" name="RFTable" displayName="RFTable" ref="A3:I15" headerRowCount="1">
  <x:tableColumns count="9">
    <x:tableColumn id="1" name="ID"/>
    <x:tableColumn id="2" name="Nome do Requisito"/>
    <x:tableColumn id="3" name="Descrição Detalhada"/>
    <x:tableColumn id="4" name="Ator / Utilizador"/>
    <x:tableColumn id="5" name="Prioridade"/>
    <x:tableColumn id="6" name="Estado"/>
    <x:tableColumn id="7" name="Critério de Aceitação"/>
    <x:tableColumn id="8" name="Notas / Observações"/>
    <x:tableColumn id="9" name="Módulo"/>
  </x:tableColumns>
  <x:tableStyleInfo name="TableStyleMedium2" showRowStripes="1"/>
</x:table>
</file>

<file path=xl/tables/table2.xml><?xml version="1.0" encoding="utf-8"?>
<x:table xmlns:x="http://schemas.openxmlformats.org/spreadsheetml/2006/main" id="2" name="RNFTable" displayName="RNFTable" ref="A3:I10" headerRowCount="1">
  <x:tableColumns count="9">
    <x:tableColumn id="1" name="ID"/>
    <x:tableColumn id="2" name="Nome do Requisito"/>
    <x:tableColumn id="3" name="Descrição Detalhada"/>
    <x:tableColumn id="4" name="Ator / Utilizador"/>
    <x:tableColumn id="5" name="Prioridade"/>
    <x:tableColumn id="6" name="Estado"/>
    <x:tableColumn id="7" name="Critério de Aceitação"/>
    <x:tableColumn id="8" name="Notas / Observações"/>
    <x:tableColumn id="9" name="Módul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847f05900141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593363d2ee42b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16" hidden="0" customWidth="1"/>
    <x:col min="5" max="5" width="12" hidden="0" customWidth="1"/>
    <x:col min="6" max="6" width="12" hidden="0" customWidth="1"/>
    <x:col min="7" max="7" width="38" hidden="0" customWidth="1"/>
    <x:col min="8" max="8" width="34" hidden="0" customWidth="1"/>
    <x:col min="9" max="9" width="18" hidden="0" customWidth="1"/>
  </x:cols>
  <x:sheetData>
    <x:row r="1" ht="24" customHeight="1">
      <x:c r="A1" s="5" t="str">
        <x:v>UFCD 10790 – Levantamento de Requisitos Funcionais (RF)  |  Projeto: Portfólio de Dados  |  Grupo: ___________</x:v>
      </x:c>
    </x:row>
    <x:row r="2">
      <x:c r="A2" s="12" t="str">
        <x:v>Data: ___/___/______    Versão: 1.0    Formador: ___________________________    Estado geral: Em curso</x:v>
      </x:c>
    </x:row>
    <x:row r="3" ht="28" customHeight="1">
      <x:c r="A3" s="26" t="str">
        <x:v>ID</x:v>
      </x:c>
      <x:c r="B3" s="26" t="str">
        <x:v>Nome do Requisito</x:v>
      </x:c>
      <x:c r="C3" s="26" t="str">
        <x:v>Descrição Detalhada</x:v>
      </x:c>
      <x:c r="D3" s="26" t="str">
        <x:v>Ator / Utilizador</x:v>
      </x:c>
      <x:c r="E3" s="26" t="str">
        <x:v>Prioridade</x:v>
      </x:c>
      <x:c r="F3" s="26" t="str">
        <x:v>Estado</x:v>
      </x:c>
      <x:c r="G3" s="26" t="str">
        <x:v>Critério de Aceitação</x:v>
      </x:c>
      <x:c r="H3" s="26" t="str">
        <x:v>Notas / Observações</x:v>
      </x:c>
      <x:c r="I3" s="26" t="str">
        <x:v>Módulo</x:v>
      </x:c>
    </x:row>
    <x:row r="4" ht="48" customHeight="1">
      <x:c r="A4" s="27" t="str">
        <x:v>RF01</x:v>
      </x:c>
      <x:c r="B4" s="27" t="str">
        <x:v>Registar Projeto</x:v>
      </x:c>
      <x:c r="C4" s="27" t="str">
        <x:v>O sistema deve permitir registar um novo projeto com todas as informações necessárias.</x:v>
      </x:c>
      <x:c r="D4" s="27" t="str">
        <x:v>Utilizador</x:v>
      </x:c>
      <x:c r="E4" s="27" t="str">
        <x:v>Alta</x:v>
      </x:c>
      <x:c r="F4" s="27" t="str">
        <x:v>Pendente</x:v>
      </x:c>
      <x:c r="G4" s="27" t="str">
        <x:v>O projeto fica registado e pode ser consultado posteriormente.</x:v>
      </x:c>
      <x:c r="H4" s="27" t="str">
        <x:v>Todos os campos obrigatórios devem ser preenchidos.</x:v>
      </x:c>
      <x:c r="I4" s="27" t="str">
        <x:v>Projetos</x:v>
      </x:c>
    </x:row>
    <x:row r="5" ht="48" customHeight="1">
      <x:c r="A5" s="27" t="str">
        <x:v>RF02</x:v>
      </x:c>
      <x:c r="B5" s="27" t="str">
        <x:v>Listar Projetos</x:v>
      </x:c>
      <x:c r="C5" s="27" t="str">
        <x:v>O sistema deve listar todos os projetos registados.</x:v>
      </x:c>
      <x:c r="D5" s="27" t="str">
        <x:v>Utilizador</x:v>
      </x:c>
      <x:c r="E5" s="27" t="str">
        <x:v>Alta</x:v>
      </x:c>
      <x:c r="F5" s="27" t="str">
        <x:v>Pendente</x:v>
      </x:c>
      <x:c r="G5" s="27" t="str">
        <x:v>A lista apresenta todos os projetos guardados.</x:v>
      </x:c>
      <x:c r="H5" s="27" t="str">
        <x:v>Exibir ID, nome, categoria e estado do projeto.</x:v>
      </x:c>
      <x:c r="I5" s="27" t="str">
        <x:v>Projetos</x:v>
      </x:c>
    </x:row>
    <x:row r="6" ht="48" customHeight="1">
      <x:c r="A6" s="27" t="str">
        <x:v>RF03</x:v>
      </x:c>
      <x:c r="B6" s="27" t="str">
        <x:v>Ver Detalhes do Projeto</x:v>
      </x:c>
      <x:c r="C6" s="27" t="str">
        <x:v>O sistema deve permitir visualizar todas as informações de um projeto específico.</x:v>
      </x:c>
      <x:c r="D6" s="27" t="str">
        <x:v>Utilizador</x:v>
      </x:c>
      <x:c r="E6" s="27" t="str">
        <x:v>Alta</x:v>
      </x:c>
      <x:c r="F6" s="27" t="str">
        <x:v>Pendente</x:v>
      </x:c>
      <x:c r="G6" s="27" t="str">
        <x:v>Os dados completos do projeto são apresentados corretamente.</x:v>
      </x:c>
      <x:c r="H6" s="27" t="str">
        <x:v>Consulta feita através do ID do projeto.</x:v>
      </x:c>
      <x:c r="I6" s="27" t="str">
        <x:v>Projetos</x:v>
      </x:c>
    </x:row>
    <x:row r="7" ht="48" customHeight="1">
      <x:c r="A7" s="27" t="str">
        <x:v>RF04</x:v>
      </x:c>
      <x:c r="B7" s="27" t="str">
        <x:v>Editar Projeto</x:v>
      </x:c>
      <x:c r="C7" s="27" t="str">
        <x:v>O sistema deve permitir alterar informações de um projeto existente.</x:v>
      </x:c>
      <x:c r="D7" s="27" t="str">
        <x:v>Utilizador</x:v>
      </x:c>
      <x:c r="E7" s="27" t="str">
        <x:v>Alta</x:v>
      </x:c>
      <x:c r="F7" s="27" t="str">
        <x:v>Pendente</x:v>
      </x:c>
      <x:c r="G7" s="27" t="str">
        <x:v>As alterações ficam guardadas após confirmação.</x:v>
      </x:c>
      <x:c r="H7" s="27" t="str">
        <x:v>Ao pressionar ENTER, o valor atual deve ser mantido.</x:v>
      </x:c>
      <x:c r="I7" s="27" t="str">
        <x:v>Projetos</x:v>
      </x:c>
    </x:row>
    <x:row r="8" ht="48" customHeight="1">
      <x:c r="A8" s="27" t="str">
        <x:v>RF05</x:v>
      </x:c>
      <x:c r="B8" s="27" t="str">
        <x:v>Remover Projeto</x:v>
      </x:c>
      <x:c r="C8" s="27" t="str">
        <x:v>O sistema deve permitir remover um projeto registado.</x:v>
      </x:c>
      <x:c r="D8" s="27" t="str">
        <x:v>Utilizador</x:v>
      </x:c>
      <x:c r="E8" s="27" t="str">
        <x:v>Alta</x:v>
      </x:c>
      <x:c r="F8" s="27" t="str">
        <x:v>Pendente</x:v>
      </x:c>
      <x:c r="G8" s="27" t="str">
        <x:v>O projeto deixa de aparecer nas listagens após ser removido.</x:v>
      </x:c>
      <x:c r="H8" s="27" t="str">
        <x:v>Deve existir confirmação antes da remoção.</x:v>
      </x:c>
      <x:c r="I8" s="27" t="str">
        <x:v>Projetos</x:v>
      </x:c>
    </x:row>
    <x:row r="9" ht="48" customHeight="1">
      <x:c r="A9" s="27" t="str">
        <x:v>RF06</x:v>
      </x:c>
      <x:c r="B9" s="27" t="str">
        <x:v>Filtrar por Período</x:v>
      </x:c>
      <x:c r="C9" s="27" t="str">
        <x:v>O sistema deve permitir filtrar projetos por intervalo de datas.</x:v>
      </x:c>
      <x:c r="D9" s="27" t="str">
        <x:v>Utilizador</x:v>
      </x:c>
      <x:c r="E9" s="27" t="str">
        <x:v>Média</x:v>
      </x:c>
      <x:c r="F9" s="27" t="str">
        <x:v>Pendente</x:v>
      </x:c>
      <x:c r="G9" s="27" t="str">
        <x:v>Apenas os projetos dentro do período indicado são apresentados.</x:v>
      </x:c>
      <x:c r="H9" s="27" t="str">
        <x:v>Utiliza data de início e/ou data de conclusão.</x:v>
      </x:c>
      <x:c r="I9" s="27" t="str">
        <x:v>Filtros</x:v>
      </x:c>
    </x:row>
    <x:row r="10" ht="48" customHeight="1">
      <x:c r="A10" s="27" t="str">
        <x:v>RF07</x:v>
      </x:c>
      <x:c r="B10" s="27" t="str">
        <x:v>Filtrar por Empresa</x:v>
      </x:c>
      <x:c r="C10" s="27" t="str">
        <x:v>O sistema deve permitir filtrar projetos por empresa ou cliente.</x:v>
      </x:c>
      <x:c r="D10" s="27" t="str">
        <x:v>Utilizador</x:v>
      </x:c>
      <x:c r="E10" s="27" t="str">
        <x:v>Média</x:v>
      </x:c>
      <x:c r="F10" s="27" t="str">
        <x:v>Pendente</x:v>
      </x:c>
      <x:c r="G10" s="27" t="str">
        <x:v>Apenas os projetos da empresa ou cliente indicado são apresentados.</x:v>
      </x:c>
      <x:c r="H10" s="27" t="str">
        <x:v>Permitir pesquisa por nome completo ou parcial.</x:v>
      </x:c>
      <x:c r="I10" s="27" t="str">
        <x:v>Filtros</x:v>
      </x:c>
    </x:row>
    <x:row r="11" ht="48" customHeight="1">
      <x:c r="A11" s="27" t="str">
        <x:v>RF08</x:v>
      </x:c>
      <x:c r="B11" s="27" t="str">
        <x:v>Filtrar por Categoria</x:v>
      </x:c>
      <x:c r="C11" s="27" t="str">
        <x:v>O sistema deve permitir filtrar projetos por categoria.</x:v>
      </x:c>
      <x:c r="D11" s="27" t="str">
        <x:v>Utilizador</x:v>
      </x:c>
      <x:c r="E11" s="27" t="str">
        <x:v>Alta</x:v>
      </x:c>
      <x:c r="F11" s="27" t="str">
        <x:v>Pendente</x:v>
      </x:c>
      <x:c r="G11" s="27" t="str">
        <x:v>Apenas os projetos da categoria escolhida são apresentados.</x:v>
      </x:c>
      <x:c r="H11" s="27" t="str">
        <x:v>Categorias: Vendas, Financeiro, RH, Marketing, Estatística, Saúde, Educação, Logística ou Outro.</x:v>
      </x:c>
      <x:c r="I11" s="27" t="str">
        <x:v>Filtros</x:v>
      </x:c>
    </x:row>
    <x:row r="12" ht="48" customHeight="1">
      <x:c r="A12" s="27" t="str">
        <x:v>RF09</x:v>
      </x:c>
      <x:c r="B12" s="27" t="str">
        <x:v>Filtrar por Ferramenta</x:v>
      </x:c>
      <x:c r="C12" s="27" t="str">
        <x:v>O sistema deve permitir filtrar projetos pela ferramenta utilizada.</x:v>
      </x:c>
      <x:c r="D12" s="27" t="str">
        <x:v>Utilizador</x:v>
      </x:c>
      <x:c r="E12" s="27" t="str">
        <x:v>Média</x:v>
      </x:c>
      <x:c r="F12" s="27" t="str">
        <x:v>Pendente</x:v>
      </x:c>
      <x:c r="G12" s="27" t="str">
        <x:v>Apenas os projetos com a ferramenta indicada são apresentados.</x:v>
      </x:c>
      <x:c r="H12" s="27" t="str">
        <x:v>Exemplos: Python, SQL, Excel, Power BI.</x:v>
      </x:c>
      <x:c r="I12" s="27" t="str">
        <x:v>Filtros</x:v>
      </x:c>
    </x:row>
    <x:row r="13" ht="48" customHeight="1">
      <x:c r="A13" s="27" t="str">
        <x:v>RF10</x:v>
      </x:c>
      <x:c r="B13" s="27" t="str">
        <x:v>Filtrar por Status</x:v>
      </x:c>
      <x:c r="C13" s="27" t="str">
        <x:v>O sistema deve permitir filtrar projetos pelo seu estado.</x:v>
      </x:c>
      <x:c r="D13" s="27" t="str">
        <x:v>Utilizador</x:v>
      </x:c>
      <x:c r="E13" s="27" t="str">
        <x:v>Média</x:v>
      </x:c>
      <x:c r="F13" s="27" t="str">
        <x:v>Pendente</x:v>
      </x:c>
      <x:c r="G13" s="27" t="str">
        <x:v>Apenas os projetos com o estado escolhido são apresentados.</x:v>
      </x:c>
      <x:c r="H13" s="27" t="str">
        <x:v>Estados: Em andamento, Concluído ou Arquivado.</x:v>
      </x:c>
      <x:c r="I13" s="27" t="str">
        <x:v>Filtros</x:v>
      </x:c>
    </x:row>
    <x:row r="14" ht="48" customHeight="1">
      <x:c r="A14" s="27" t="str">
        <x:v>RF11</x:v>
      </x:c>
      <x:c r="B14" s="27" t="str">
        <x:v>Estatísticas do Portfólio</x:v>
      </x:c>
      <x:c r="C14" s="27" t="str">
        <x:v>O sistema deve apresentar estatísticas sobre os projetos registados.</x:v>
      </x:c>
      <x:c r="D14" s="27" t="str">
        <x:v>Utilizador</x:v>
      </x:c>
      <x:c r="E14" s="27" t="str">
        <x:v>Média</x:v>
      </x:c>
      <x:c r="F14" s="27" t="str">
        <x:v>Pendente</x:v>
      </x:c>
      <x:c r="G14" s="27" t="str">
        <x:v>As estatísticas são calculadas e apresentadas corretamente.</x:v>
      </x:c>
      <x:c r="H14" s="27" t="str">
        <x:v>Total de projetos, categorias e ferramentas mais usadas.</x:v>
      </x:c>
      <x:c r="I14" s="27" t="str">
        <x:v>Estatísticas</x:v>
      </x:c>
    </x:row>
    <x:row r="15" ht="48" customHeight="1">
      <x:c r="A15" s="27" t="str">
        <x:v>RF12</x:v>
      </x:c>
      <x:c r="B15" s="27" t="str">
        <x:v>Guardar Dados</x:v>
      </x:c>
      <x:c r="C15" s="27" t="str">
        <x:v>O sistema deve guardar os dados dos projetos para utilização futura.</x:v>
      </x:c>
      <x:c r="D15" s="27" t="str">
        <x:v>Utilizador</x:v>
      </x:c>
      <x:c r="E15" s="27" t="str">
        <x:v>Alta</x:v>
      </x:c>
      <x:c r="F15" s="27" t="str">
        <x:v>Pendente</x:v>
      </x:c>
      <x:c r="G15" s="27" t="str">
        <x:v>Os dados continuam disponíveis após reiniciar o programa.</x:v>
      </x:c>
      <x:c r="H15" s="27" t="str">
        <x:v>Utilização de ficheiro JSON.</x:v>
      </x:c>
      <x:c r="I15" s="27" t="str">
        <x:v>Armazenamento</x:v>
      </x:c>
    </x:row>
  </x:sheetData>
  <x:mergeCells>
    <x:mergeCell ref="A1:I1"/>
    <x:mergeCell ref="A2:I2"/>
  </x:mergeCells>
  <x:conditionalFormatting sqref="E4:E15">
    <x:cfRule type="expression" dxfId="0" priority="1">
      <x:formula>E4="Alta"</x:formula>
    </x:cfRule>
    <x:cfRule type="expression" dxfId="1" priority="2">
      <x:formula>E4="Média"</x:formula>
    </x:cfRule>
    <x:cfRule type="expression" dxfId="2" priority="3">
      <x:formula>E4="Baixa"</x:formula>
    </x:cfRule>
  </x:conditionalFormatting>
  <x:conditionalFormatting sqref="F4:F15">
    <x:cfRule type="expression" dxfId="3" priority="4">
      <x:formula>F4="Pendente"</x:formula>
    </x:cfRule>
  </x:conditionalFormatting>
  <x:dataValidations count="2">
    <x:dataValidation type="list" sqref="E4:E15">
      <x:formula1>"Alta,Média,Baixa"</x:formula1>
    </x:dataValidation>
    <x:dataValidation type="list" sqref="F4:F15">
      <x:formula1>"Pendente,Em curso,Concluído"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847f05900141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16" hidden="0" customWidth="1"/>
    <x:col min="5" max="5" width="12" hidden="0" customWidth="1"/>
    <x:col min="6" max="6" width="12" hidden="0" customWidth="1"/>
    <x:col min="7" max="7" width="38" hidden="0" customWidth="1"/>
    <x:col min="8" max="8" width="34" hidden="0" customWidth="1"/>
    <x:col min="9" max="9" width="18" hidden="0" customWidth="1"/>
  </x:cols>
  <x:sheetData>
    <x:row r="1" ht="24" customHeight="1">
      <x:c r="A1" s="33" t="str">
        <x:v>UFCD 10790 – Levantamento de Requisitos Não Funcionais (RNF)  |  Projeto: Portfólio de Dados  |  Grupo: ___________</x:v>
      </x:c>
    </x:row>
    <x:row r="2">
      <x:c r="A2" s="40" t="str">
        <x:v>Data: ___/___/______    Versão: 1.0    Formador: ___________________________    Estado geral: Em curso</x:v>
      </x:c>
    </x:row>
    <x:row r="3" ht="28" customHeight="1">
      <x:c r="A3" s="52" t="str">
        <x:v>ID</x:v>
      </x:c>
      <x:c r="B3" s="52" t="str">
        <x:v>Nome do Requisito</x:v>
      </x:c>
      <x:c r="C3" s="52" t="str">
        <x:v>Descrição Detalhada</x:v>
      </x:c>
      <x:c r="D3" s="52" t="str">
        <x:v>Ator / Utilizador</x:v>
      </x:c>
      <x:c r="E3" s="52" t="str">
        <x:v>Prioridade</x:v>
      </x:c>
      <x:c r="F3" s="52" t="str">
        <x:v>Estado</x:v>
      </x:c>
      <x:c r="G3" s="52" t="str">
        <x:v>Critério de Aceitação</x:v>
      </x:c>
      <x:c r="H3" s="52" t="str">
        <x:v>Notas / Observações</x:v>
      </x:c>
      <x:c r="I3" s="52" t="str">
        <x:v>Módulo</x:v>
      </x:c>
    </x:row>
    <x:row r="4" ht="48" customHeight="1">
      <x:c r="A4" s="27" t="str">
        <x:v>RNF01</x:v>
      </x:c>
      <x:c r="B4" s="27" t="str">
        <x:v>Execução em Terminal</x:v>
      </x:c>
      <x:c r="C4" s="27" t="str">
        <x:v>A aplicação deve funcionar integralmente através do terminal.</x:v>
      </x:c>
      <x:c r="D4" s="27" t="str">
        <x:v>Utilizador</x:v>
      </x:c>
      <x:c r="E4" s="27" t="str">
        <x:v>Alta</x:v>
      </x:c>
      <x:c r="F4" s="27" t="str">
        <x:v>Pendente</x:v>
      </x:c>
      <x:c r="G4" s="27" t="str">
        <x:v>Todas as funcionalidades podem ser utilizadas sem interface gráfica.</x:v>
      </x:c>
      <x:c r="H4" s="27" t="str">
        <x:v>Projeto desenvolvido para consola.</x:v>
      </x:c>
      <x:c r="I4" s="27" t="str">
        <x:v>Interface</x:v>
      </x:c>
    </x:row>
    <x:row r="5" ht="48" customHeight="1">
      <x:c r="A5" s="27" t="str">
        <x:v>RNF02</x:v>
      </x:c>
      <x:c r="B5" s="27" t="str">
        <x:v>Persistência de Dados</x:v>
      </x:c>
      <x:c r="C5" s="27" t="str">
        <x:v>Os dados dos projetos devem permanecer guardados após o encerramento do programa.</x:v>
      </x:c>
      <x:c r="D5" s="27" t="str">
        <x:v>Utilizador</x:v>
      </x:c>
      <x:c r="E5" s="27" t="str">
        <x:v>Alta</x:v>
      </x:c>
      <x:c r="F5" s="27" t="str">
        <x:v>Pendente</x:v>
      </x:c>
      <x:c r="G5" s="27" t="str">
        <x:v>Ao reiniciar a aplicação, os projetos registados continuam disponíveis.</x:v>
      </x:c>
      <x:c r="H5" s="27" t="str">
        <x:v>Utilização de ficheiro JSON.</x:v>
      </x:c>
      <x:c r="I5" s="27" t="str">
        <x:v>Armazenamento</x:v>
      </x:c>
    </x:row>
    <x:row r="6" ht="48" customHeight="1">
      <x:c r="A6" s="27" t="str">
        <x:v>RNF03</x:v>
      </x:c>
      <x:c r="B6" s="27" t="str">
        <x:v>Usabilidade</x:v>
      </x:c>
      <x:c r="C6" s="27" t="str">
        <x:v>A interface deve ser simples e intuitiva para qualquer utilizador.</x:v>
      </x:c>
      <x:c r="D6" s="27" t="str">
        <x:v>Utilizador</x:v>
      </x:c>
      <x:c r="E6" s="27" t="str">
        <x:v>Média</x:v>
      </x:c>
      <x:c r="F6" s="27" t="str">
        <x:v>Pendente</x:v>
      </x:c>
      <x:c r="G6" s="27" t="str">
        <x:v>Um utilizador consegue registar e consultar projetos sem ajuda externa.</x:v>
      </x:c>
      <x:c r="H6" s="27" t="str">
        <x:v>Menus claros e organizados.</x:v>
      </x:c>
      <x:c r="I6" s="27" t="str">
        <x:v>Interface</x:v>
      </x:c>
    </x:row>
    <x:row r="7" ht="48" customHeight="1">
      <x:c r="A7" s="27" t="str">
        <x:v>RNF04</x:v>
      </x:c>
      <x:c r="B7" s="27" t="str">
        <x:v>Desempenho</x:v>
      </x:c>
      <x:c r="C7" s="27" t="str">
        <x:v>As operações de pesquisa, listagem e filtragem devem ocorrer rapidamente.</x:v>
      </x:c>
      <x:c r="D7" s="27" t="str">
        <x:v>Utilizador</x:v>
      </x:c>
      <x:c r="E7" s="27" t="str">
        <x:v>Média</x:v>
      </x:c>
      <x:c r="F7" s="27" t="str">
        <x:v>Pendente</x:v>
      </x:c>
      <x:c r="G7" s="27" t="str">
        <x:v>Os resultados são apresentados em menos de 2 segundos em condições normais.</x:v>
      </x:c>
      <x:c r="H7" s="27" t="str">
        <x:v>Considerando uma quantidade moderada de projetos.</x:v>
      </x:c>
      <x:c r="I7" s="27" t="str">
        <x:v>Performance</x:v>
      </x:c>
    </x:row>
    <x:row r="8" ht="48" customHeight="1">
      <x:c r="A8" s="27" t="str">
        <x:v>RNF05</x:v>
      </x:c>
      <x:c r="B8" s="27" t="str">
        <x:v>Compatibilidade</x:v>
      </x:c>
      <x:c r="C8" s="27" t="str">
        <x:v>A aplicação deve funcionar em qualquer computador com Python instalado.</x:v>
      </x:c>
      <x:c r="D8" s="27" t="str">
        <x:v>Utilizador</x:v>
      </x:c>
      <x:c r="E8" s="27" t="str">
        <x:v>Média</x:v>
      </x:c>
      <x:c r="F8" s="27" t="str">
        <x:v>Pendente</x:v>
      </x:c>
      <x:c r="G8" s="27" t="str">
        <x:v>O programa executa sem erros em diferentes sistemas operativos compatíveis com Python.</x:v>
      </x:c>
      <x:c r="H8" s="27" t="str">
        <x:v>Windows, Linux ou macOS.</x:v>
      </x:c>
      <x:c r="I8" s="27" t="str">
        <x:v>Compatibilidade</x:v>
      </x:c>
    </x:row>
    <x:row r="9" ht="48" customHeight="1">
      <x:c r="A9" s="27" t="str">
        <x:v>RNF06</x:v>
      </x:c>
      <x:c r="B9" s="27" t="str">
        <x:v>Integridade dos Dados</x:v>
      </x:c>
      <x:c r="C9" s="27" t="str">
        <x:v>O sistema deve evitar o armazenamento de registos incompletos.</x:v>
      </x:c>
      <x:c r="D9" s="27" t="str">
        <x:v>Sistema</x:v>
      </x:c>
      <x:c r="E9" s="27" t="str">
        <x:v>Alta</x:v>
      </x:c>
      <x:c r="F9" s="27" t="str">
        <x:v>Pendente</x:v>
      </x:c>
      <x:c r="G9" s="27" t="str">
        <x:v>Campos obrigatórios são validados antes da gravação.</x:v>
      </x:c>
      <x:c r="H9" s="27" t="str">
        <x:v>Evitar projetos sem informações essenciais.</x:v>
      </x:c>
      <x:c r="I9" s="27" t="str">
        <x:v>Validação</x:v>
      </x:c>
    </x:row>
    <x:row r="10" ht="48" customHeight="1">
      <x:c r="A10" s="27" t="str">
        <x:v>RNF07</x:v>
      </x:c>
      <x:c r="B10" s="27" t="str">
        <x:v>Manutenibilidade</x:v>
      </x:c>
      <x:c r="C10" s="27" t="str">
        <x:v>O código deve ser organizado em funções para facilitar futuras alterações.</x:v>
      </x:c>
      <x:c r="D10" s="27" t="str">
        <x:v>Programador</x:v>
      </x:c>
      <x:c r="E10" s="27" t="str">
        <x:v>Média</x:v>
      </x:c>
      <x:c r="F10" s="27" t="str">
        <x:v>Pendente</x:v>
      </x:c>
      <x:c r="G10" s="27" t="str">
        <x:v>Novas funcionalidades podem ser adicionadas sem alterar todo o programa.</x:v>
      </x:c>
      <x:c r="H10" s="27" t="str">
        <x:v>Código modular.</x:v>
      </x:c>
      <x:c r="I10" s="27" t="str">
        <x:v>Desenvolvimento</x:v>
      </x:c>
    </x:row>
  </x:sheetData>
  <x:mergeCells>
    <x:mergeCell ref="A1:I1"/>
    <x:mergeCell ref="A2:I2"/>
  </x:mergeCells>
  <x:conditionalFormatting sqref="E4:E10">
    <x:cfRule type="expression" dxfId="4" priority="1">
      <x:formula>E4="Alta"</x:formula>
    </x:cfRule>
    <x:cfRule type="expression" dxfId="5" priority="2">
      <x:formula>E4="Média"</x:formula>
    </x:cfRule>
    <x:cfRule type="expression" dxfId="6" priority="3">
      <x:formula>E4="Baixa"</x:formula>
    </x:cfRule>
  </x:conditionalFormatting>
  <x:conditionalFormatting sqref="F4:F10">
    <x:cfRule type="expression" dxfId="7" priority="4">
      <x:formula>F4="Pendente"</x:formula>
    </x:cfRule>
  </x:conditionalFormatting>
  <x:dataValidations count="2">
    <x:dataValidation type="list" sqref="E4:E10">
      <x:formula1>"Alta,Média,Baixa"</x:formula1>
    </x:dataValidation>
    <x:dataValidation type="list" sqref="F4:F10">
      <x:formula1>"Pendente,Em curso,Concluído"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593363d2ee42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4" hidden="0" customWidth="1"/>
    <x:col min="4" max="4" width="14" hidden="0" customWidth="1"/>
  </x:cols>
  <x:sheetData>
    <x:row r="1" ht="28" customHeight="1">
      <x:c r="A1" s="4" t="str">
        <x:v>UFCD 10790 — Resumo do Levantamento de Requisitos</x:v>
      </x:c>
    </x:row>
    <x:row r="2">
      <x:c r="A2" s="55" t="str">
        <x:v>Projeto: Portfólio de Dados   |   Grupo: ___________   |   Data: ___/___/______</x:v>
      </x:c>
    </x:row>
    <x:row r="3" ht="28" customHeight="1">
      <x:c r="A3" s="59" t="str">
        <x:v>Indicador</x:v>
      </x:c>
      <x:c r="B3" s="59" t="str">
        <x:v>Funcionais (RF)</x:v>
      </x:c>
      <x:c r="C3" s="59" t="str">
        <x:v>Não Funcionais (RNF)</x:v>
      </x:c>
      <x:c r="D3" s="59" t="str">
        <x:v>Total</x:v>
      </x:c>
    </x:row>
    <x:row r="4" ht="28" customHeight="1">
      <x:c r="A4" s="72" t="str">
        <x:v>Total de Requisitos</x:v>
      </x:c>
      <x:c r="B4" s="73" t="n">
        <x:f>COUNTA('Req. Funcionais (RF)'!A4:A15)</x:f>
        <x:v>12</x:v>
      </x:c>
      <x:c r="C4" s="73" t="n">
        <x:f>COUNTA('Req. Não Funcionais (RNF)'!A4:A10)</x:f>
        <x:v>7</x:v>
      </x:c>
      <x:c r="D4" s="73" t="n">
        <x:f>B4+C4</x:f>
        <x:v>19</x:v>
      </x:c>
    </x:row>
    <x:row r="5" ht="28" customHeight="1">
      <x:c r="A5" s="68" t="str">
        <x:v>Prioridade Alta</x:v>
      </x:c>
      <x:c r="B5" s="69" t="n">
        <x:f>COUNTIF('Req. Funcionais (RF)'!E4:E15,"Alta")</x:f>
        <x:v>7</x:v>
      </x:c>
      <x:c r="C5" s="69" t="n">
        <x:f>COUNTIF('Req. Não Funcionais (RNF)'!E4:E10,"Alta")</x:f>
        <x:v>3</x:v>
      </x:c>
      <x:c r="D5" s="69" t="n">
        <x:f>B5+C5</x:f>
        <x:v>10</x:v>
      </x:c>
    </x:row>
    <x:row r="6" ht="28" customHeight="1">
      <x:c r="A6" s="68" t="str">
        <x:v>Prioridade Média</x:v>
      </x:c>
      <x:c r="B6" s="69" t="n">
        <x:f>COUNTIF('Req. Funcionais (RF)'!E4:E15,"Média")</x:f>
        <x:v>5</x:v>
      </x:c>
      <x:c r="C6" s="69" t="n">
        <x:f>COUNTIF('Req. Não Funcionais (RNF)'!E4:E10,"Média")</x:f>
        <x:v>4</x:v>
      </x:c>
      <x:c r="D6" s="69" t="n">
        <x:f>B6+C6</x:f>
        <x:v>9</x:v>
      </x:c>
    </x:row>
    <x:row r="7" ht="28" customHeight="1">
      <x:c r="A7" s="68" t="str">
        <x:v>Prioridade Baixa</x:v>
      </x:c>
      <x:c r="B7" s="69" t="n">
        <x:f>COUNTIF('Req. Funcionais (RF)'!E4:E15,"Baixa")</x:f>
        <x:v>0</x:v>
      </x:c>
      <x:c r="C7" s="69" t="n">
        <x:f>COUNTIF('Req. Não Funcionais (RNF)'!E4:E10,"Baixa")</x:f>
        <x:v>0</x:v>
      </x:c>
      <x:c r="D7" s="69" t="n">
        <x:f>B7+C7</x:f>
        <x:v>0</x:v>
      </x:c>
    </x:row>
    <x:row r="8" ht="28" customHeight="1">
      <x:c r="A8" s="68" t="str">
        <x:v>Concluídos</x:v>
      </x:c>
      <x:c r="B8" s="69" t="n">
        <x:f>COUNTIF('Req. Funcionais (RF)'!F4:F15,"Concluído")</x:f>
        <x:v>0</x:v>
      </x:c>
      <x:c r="C8" s="69" t="n">
        <x:f>COUNTIF('Req. Não Funcionais (RNF)'!F4:F10,"Concluído")</x:f>
        <x:v>0</x:v>
      </x:c>
      <x:c r="D8" s="69" t="n">
        <x:f>B8+C8</x:f>
        <x:v>0</x:v>
      </x:c>
    </x:row>
    <x:row r="9" ht="28" customHeight="1">
      <x:c r="A9" s="68" t="str">
        <x:v>Pendentes</x:v>
      </x:c>
      <x:c r="B9" s="69" t="n">
        <x:f>COUNTIF('Req. Funcionais (RF)'!F4:F15,"Pendente")</x:f>
        <x:v>12</x:v>
      </x:c>
      <x:c r="C9" s="69" t="n">
        <x:f>COUNTIF('Req. Não Funcionais (RNF)'!F4:F10,"Pendente")</x:f>
        <x:v>7</x:v>
      </x:c>
      <x:c r="D9" s="69" t="n">
        <x:f>B9+C9</x:f>
        <x:v>19</x:v>
      </x:c>
    </x:row>
    <x:row r="10" ht="28" customHeight="1">
      <x:c r="A10" s="68" t="str">
        <x:v>Em curso</x:v>
      </x:c>
      <x:c r="B10" s="69" t="n">
        <x:f>COUNTIF('Req. Funcionais (RF)'!F4:F15,"Em curso")</x:f>
        <x:v>0</x:v>
      </x:c>
      <x:c r="C10" s="69" t="n">
        <x:f>COUNTIF('Req. Não Funcionais (RNF)'!F4:F10,"Em curso")</x:f>
        <x:v>0</x:v>
      </x:c>
      <x:c r="D10" s="69" t="n">
        <x:f>B10+C10</x:f>
        <x:v>0</x:v>
      </x:c>
    </x:row>
  </x:sheetData>
  <x:mergeCells>
    <x:mergeCell ref="A1:D1"/>
    <x:mergeCell ref="A2:D2"/>
  </x:mergeCells>
  <x:pageMargins left="0.7" right="0.7" top="0.75" bottom="0.75" header="0.3" footer="0.3"/>
</x:worksheet>
</file>